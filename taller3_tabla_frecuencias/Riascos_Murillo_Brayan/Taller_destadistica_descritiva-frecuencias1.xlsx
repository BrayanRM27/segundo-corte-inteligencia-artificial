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drmi\Downloads\"/>
    </mc:Choice>
  </mc:AlternateContent>
  <xr:revisionPtr revIDLastSave="0" documentId="13_ncr:1_{C8B5CB9E-97FB-4A01-90E9-C3F17269A4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o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3" l="1"/>
  <c r="H12" i="3"/>
  <c r="H11" i="3"/>
  <c r="H15" i="3" s="1"/>
  <c r="M5" i="3"/>
  <c r="M6" i="3"/>
  <c r="M7" i="3" s="1"/>
  <c r="M8" i="3" s="1"/>
  <c r="M4" i="3"/>
  <c r="M3" i="3"/>
  <c r="M2" i="3"/>
  <c r="L3" i="3"/>
  <c r="L2" i="3"/>
  <c r="L5" i="3"/>
  <c r="L6" i="3"/>
  <c r="L7" i="3" s="1"/>
  <c r="L8" i="3" s="1"/>
  <c r="L4" i="3"/>
  <c r="K2" i="3"/>
  <c r="K4" i="3"/>
  <c r="K3" i="3"/>
  <c r="K5" i="3"/>
  <c r="K6" i="3"/>
  <c r="K7" i="3"/>
  <c r="K8" i="3"/>
  <c r="J9" i="3"/>
  <c r="J2" i="3"/>
  <c r="J3" i="3"/>
  <c r="J4" i="3"/>
  <c r="J5" i="3"/>
  <c r="J6" i="3"/>
  <c r="J7" i="3"/>
  <c r="J8" i="3"/>
  <c r="I2" i="3"/>
  <c r="I4" i="3"/>
  <c r="I3" i="3"/>
  <c r="I5" i="3"/>
  <c r="I6" i="3"/>
  <c r="I7" i="3"/>
  <c r="I8" i="3"/>
  <c r="H14" i="3"/>
</calcChain>
</file>

<file path=xl/sharedStrings.xml><?xml version="1.0" encoding="utf-8"?>
<sst xmlns="http://schemas.openxmlformats.org/spreadsheetml/2006/main" count="128" uniqueCount="34">
  <si>
    <t>ID</t>
  </si>
  <si>
    <t>País</t>
  </si>
  <si>
    <t>Estado Socioeconómico</t>
  </si>
  <si>
    <t>Apps Descargadas</t>
  </si>
  <si>
    <t>Tiempo en Celular (horas)</t>
  </si>
  <si>
    <t>LÍMITE INFERIOR</t>
  </si>
  <si>
    <t>LÍMITE SUPERIOR</t>
  </si>
  <si>
    <t>FRECUENCIA ABSOLUTA</t>
  </si>
  <si>
    <t>FRECUENCIA RELATIVA</t>
  </si>
  <si>
    <t>FRECUENCIA ACOMULADA</t>
  </si>
  <si>
    <t>FRECUENCIA RELATIVA ACUMULADA</t>
  </si>
  <si>
    <t>PUNTO MEDIO (MARCA DE CLASE)</t>
  </si>
  <si>
    <t>México|</t>
  </si>
  <si>
    <t>Medio</t>
  </si>
  <si>
    <t>Colombia</t>
  </si>
  <si>
    <t>Bajo</t>
  </si>
  <si>
    <t>Argentina</t>
  </si>
  <si>
    <t>Alto</t>
  </si>
  <si>
    <t>México</t>
  </si>
  <si>
    <t>Chile</t>
  </si>
  <si>
    <t>Perú</t>
  </si>
  <si>
    <t>DATOS MINIMO</t>
  </si>
  <si>
    <t>DATOS MAXIMO</t>
  </si>
  <si>
    <t>RANGO</t>
  </si>
  <si>
    <t>NÚMERO DE CALSES</t>
  </si>
  <si>
    <t>AMPLITUD DE CLASE</t>
  </si>
  <si>
    <t>INTERVALOS DE APPS DESCARGADAS</t>
  </si>
  <si>
    <t>30-45</t>
  </si>
  <si>
    <t>45-60</t>
  </si>
  <si>
    <t>60-75</t>
  </si>
  <si>
    <t>75-90</t>
  </si>
  <si>
    <t>105-120</t>
  </si>
  <si>
    <t>90-105</t>
  </si>
  <si>
    <t>120-135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</si>
</sst>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7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9" fontId="0" fillId="0" borderId="0" xfId="1" applyFont="1"/>
  </cellXfs>
  <cellStyles count="2">
    <cellStyle name="Normal" xfId="0" builtinId="0"/>
    <cellStyle name="Porcentaje" xfId="1" builtinId="5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Datos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Datos-style 2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Datos-style 3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Histograma de Frecuencias de Apps Descargadas</a:t>
            </a:r>
          </a:p>
        </c:rich>
      </c:tx>
      <c:layout>
        <c:manualLayout>
          <c:xMode val="edge"/>
          <c:yMode val="edge"/>
          <c:x val="0.1791456692913385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Datos!$O$1</c:f>
              <c:strCache>
                <c:ptCount val="1"/>
                <c:pt idx="0">
                  <c:v>FRECUENCIA ABSOLUTA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Datos!$N$2:$N$8</c:f>
              <c:strCache>
                <c:ptCount val="7"/>
                <c:pt idx="0">
                  <c:v>30-45</c:v>
                </c:pt>
                <c:pt idx="1">
                  <c:v>45-60</c:v>
                </c:pt>
                <c:pt idx="2">
                  <c:v>60-75</c:v>
                </c:pt>
                <c:pt idx="3">
                  <c:v>75-90</c:v>
                </c:pt>
                <c:pt idx="4">
                  <c:v>90-105</c:v>
                </c:pt>
                <c:pt idx="5">
                  <c:v>105-120</c:v>
                </c:pt>
                <c:pt idx="6">
                  <c:v>120-135</c:v>
                </c:pt>
              </c:strCache>
            </c:strRef>
          </c:cat>
          <c:val>
            <c:numRef>
              <c:f>Datos!$O$2:$O$8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6-4AE7-9950-B8D80A7DC8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8557888"/>
        <c:axId val="1908555488"/>
      </c:barChart>
      <c:catAx>
        <c:axId val="190855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Intervalos de Apps Descargadas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8555488"/>
        <c:crosses val="autoZero"/>
        <c:auto val="1"/>
        <c:lblAlgn val="ctr"/>
        <c:lblOffset val="100"/>
        <c:noMultiLvlLbl val="0"/>
      </c:catAx>
      <c:valAx>
        <c:axId val="190855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de Usuarios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855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Polígono de </a:t>
            </a:r>
            <a:r>
              <a:rPr lang="en-US" sz="1400"/>
              <a:t>Frecuencias</a:t>
            </a:r>
            <a:r>
              <a:rPr lang="en-US"/>
              <a:t> de Apps Descargadas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Datos!$J$1</c:f>
              <c:strCache>
                <c:ptCount val="1"/>
                <c:pt idx="0">
                  <c:v>FRECUENCIA ABSOLUTA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Datos!$I$2:$I$8</c:f>
              <c:numCache>
                <c:formatCode>General</c:formatCode>
                <c:ptCount val="7"/>
                <c:pt idx="0">
                  <c:v>37.5</c:v>
                </c:pt>
                <c:pt idx="1">
                  <c:v>52.5</c:v>
                </c:pt>
                <c:pt idx="2">
                  <c:v>67.5</c:v>
                </c:pt>
                <c:pt idx="3">
                  <c:v>82.5</c:v>
                </c:pt>
                <c:pt idx="4">
                  <c:v>97.5</c:v>
                </c:pt>
                <c:pt idx="5">
                  <c:v>112.5</c:v>
                </c:pt>
                <c:pt idx="6">
                  <c:v>127.5</c:v>
                </c:pt>
              </c:numCache>
            </c:numRef>
          </c:xVal>
          <c:yVal>
            <c:numRef>
              <c:f>Datos!$J$2:$J$8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60-4522-AA4F-820C31F02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598688"/>
        <c:axId val="1908583808"/>
      </c:scatterChart>
      <c:valAx>
        <c:axId val="190859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Marca de Clase (Xi)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8583808"/>
        <c:crosses val="autoZero"/>
        <c:crossBetween val="midCat"/>
      </c:valAx>
      <c:valAx>
        <c:axId val="190858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 Absoluta (fi)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859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Ojiva o Curva Acumulada de Apps Descargadas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Datos!$P$2:$P$8</c:f>
              <c:numCache>
                <c:formatCode>General</c:formatCode>
                <c:ptCount val="7"/>
                <c:pt idx="0">
                  <c:v>45</c:v>
                </c:pt>
                <c:pt idx="1">
                  <c:v>60</c:v>
                </c:pt>
                <c:pt idx="2">
                  <c:v>75</c:v>
                </c:pt>
                <c:pt idx="3">
                  <c:v>90</c:v>
                </c:pt>
                <c:pt idx="4">
                  <c:v>105</c:v>
                </c:pt>
                <c:pt idx="5">
                  <c:v>120</c:v>
                </c:pt>
                <c:pt idx="6">
                  <c:v>135</c:v>
                </c:pt>
              </c:numCache>
            </c:numRef>
          </c:xVal>
          <c:yVal>
            <c:numRef>
              <c:f>Datos!$Q$2:$Q$8</c:f>
              <c:numCache>
                <c:formatCode>0%</c:formatCode>
                <c:ptCount val="7"/>
                <c:pt idx="0">
                  <c:v>0.14000000000000001</c:v>
                </c:pt>
                <c:pt idx="1">
                  <c:v>0.26</c:v>
                </c:pt>
                <c:pt idx="2">
                  <c:v>0.46</c:v>
                </c:pt>
                <c:pt idx="3">
                  <c:v>0.64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5-4E23-9A88-68F49AD78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522832"/>
        <c:axId val="2131953968"/>
      </c:scatterChart>
      <c:valAx>
        <c:axId val="213552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Límite Superior del Intervalo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31953968"/>
        <c:crosses val="autoZero"/>
        <c:crossBetween val="midCat"/>
      </c:valAx>
      <c:valAx>
        <c:axId val="213195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 Relativa Acumulada (%)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10277777777777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3552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1104900</xdr:colOff>
      <xdr:row>9</xdr:row>
      <xdr:rowOff>163830</xdr:rowOff>
    </xdr:from>
    <xdr:to>
      <xdr:col>14</xdr:col>
      <xdr:colOff>777240</xdr:colOff>
      <xdr:row>28</xdr:row>
      <xdr:rowOff>22860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6F062C2-BC81-C3C8-152B-632C1E13B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</xdr:colOff>
      <xdr:row>29</xdr:row>
      <xdr:rowOff>57150</xdr:rowOff>
    </xdr:from>
    <xdr:to>
      <xdr:col>14</xdr:col>
      <xdr:colOff>792480</xdr:colOff>
      <xdr:row>45</xdr:row>
      <xdr:rowOff>118110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CB7354C-A8CE-986C-1DDB-EC9AD44A5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1112520</xdr:colOff>
      <xdr:row>10</xdr:row>
      <xdr:rowOff>3810</xdr:rowOff>
    </xdr:from>
    <xdr:to>
      <xdr:col>20</xdr:col>
      <xdr:colOff>601980</xdr:colOff>
      <xdr:row>26</xdr:row>
      <xdr:rowOff>64770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EE29AF8-9E37-326A-2240-C31596954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99E9-6D5A-4C32-81A7-82F12546EF99}">
  <dimension ref="A1:Q51"/>
  <sheetViews>
    <sheetView tabSelected="1" workbookViewId="0">
      <selection activeCell="H14" sqref="H14"/>
    </sheetView>
  </sheetViews>
  <sheetFormatPr baseColWidth="10" defaultRowHeight="13.2" x14ac:dyDescent="0.25"/>
  <cols>
    <col min="3" max="3" width="15.88671875" customWidth="1"/>
    <col min="4" max="4" width="21.77734375" customWidth="1"/>
    <col min="5" max="5" width="25" customWidth="1"/>
    <col min="7" max="7" width="14.6640625" customWidth="1"/>
    <col min="9" max="9" width="16.21875" customWidth="1"/>
    <col min="14" max="14" width="15.88671875" customWidth="1"/>
    <col min="15" max="15" width="16.33203125" customWidth="1"/>
  </cols>
  <sheetData>
    <row r="1" spans="1:17" ht="31.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G1" s="7" t="s">
        <v>5</v>
      </c>
      <c r="H1" s="7" t="s">
        <v>6</v>
      </c>
      <c r="I1" s="7" t="s">
        <v>11</v>
      </c>
      <c r="J1" s="7" t="s">
        <v>7</v>
      </c>
      <c r="K1" s="8" t="s">
        <v>8</v>
      </c>
      <c r="L1" s="7" t="s">
        <v>9</v>
      </c>
      <c r="M1" s="7" t="s">
        <v>10</v>
      </c>
      <c r="N1" s="17" t="s">
        <v>26</v>
      </c>
      <c r="O1" s="19" t="s">
        <v>7</v>
      </c>
      <c r="P1" s="20" t="s">
        <v>6</v>
      </c>
      <c r="Q1" s="19" t="s">
        <v>10</v>
      </c>
    </row>
    <row r="2" spans="1:17" x14ac:dyDescent="0.25">
      <c r="A2" s="5">
        <v>1</v>
      </c>
      <c r="B2" s="5" t="s">
        <v>12</v>
      </c>
      <c r="C2" s="5" t="s">
        <v>13</v>
      </c>
      <c r="D2" s="5">
        <v>75</v>
      </c>
      <c r="E2" s="5">
        <v>4.5</v>
      </c>
      <c r="G2" s="9">
        <v>30</v>
      </c>
      <c r="H2" s="9">
        <v>45</v>
      </c>
      <c r="I2" s="10">
        <f>(G2+H2)/2</f>
        <v>37.5</v>
      </c>
      <c r="J2" s="10">
        <f>COUNTIFS(D$1:D$51,"&gt;="&amp;G2,D$1:D$51,"&lt;"&amp;H2)</f>
        <v>7</v>
      </c>
      <c r="K2" s="11">
        <f>J2/J$9</f>
        <v>0.14000000000000001</v>
      </c>
      <c r="L2" s="10">
        <f>J2</f>
        <v>7</v>
      </c>
      <c r="M2" s="12">
        <f>K2</f>
        <v>0.14000000000000001</v>
      </c>
      <c r="N2" s="18" t="s">
        <v>27</v>
      </c>
      <c r="O2">
        <v>7</v>
      </c>
      <c r="P2">
        <v>45</v>
      </c>
      <c r="Q2" s="21">
        <v>0.14000000000000001</v>
      </c>
    </row>
    <row r="3" spans="1:17" x14ac:dyDescent="0.25">
      <c r="A3" s="6">
        <v>2</v>
      </c>
      <c r="B3" s="6" t="s">
        <v>14</v>
      </c>
      <c r="C3" s="6" t="s">
        <v>15</v>
      </c>
      <c r="D3" s="6">
        <v>30</v>
      </c>
      <c r="E3" s="6">
        <v>2.8</v>
      </c>
      <c r="G3" s="13">
        <v>45</v>
      </c>
      <c r="H3" s="13">
        <v>60</v>
      </c>
      <c r="I3" s="14">
        <f>(G3+H3)/2</f>
        <v>52.5</v>
      </c>
      <c r="J3" s="10">
        <f>COUNTIFS(D$1:D$51,"&gt;="&amp;G3,D$1:D$51,"&lt;"&amp;H3)</f>
        <v>6</v>
      </c>
      <c r="K3" s="11">
        <f>J3/J$9</f>
        <v>0.12</v>
      </c>
      <c r="L3" s="14">
        <f>L2+J3</f>
        <v>13</v>
      </c>
      <c r="M3" s="15">
        <f>M2+K3</f>
        <v>0.26</v>
      </c>
      <c r="N3" s="18" t="s">
        <v>28</v>
      </c>
      <c r="O3">
        <v>6</v>
      </c>
      <c r="P3">
        <v>60</v>
      </c>
      <c r="Q3" s="21">
        <v>0.26</v>
      </c>
    </row>
    <row r="4" spans="1:17" x14ac:dyDescent="0.25">
      <c r="A4" s="5">
        <v>3</v>
      </c>
      <c r="B4" s="5" t="s">
        <v>16</v>
      </c>
      <c r="C4" s="5" t="s">
        <v>17</v>
      </c>
      <c r="D4" s="5">
        <v>120</v>
      </c>
      <c r="E4" s="5">
        <v>7.1</v>
      </c>
      <c r="G4" s="9">
        <v>60</v>
      </c>
      <c r="H4" s="9">
        <v>75</v>
      </c>
      <c r="I4" s="10">
        <f>(G4+H4)/2</f>
        <v>67.5</v>
      </c>
      <c r="J4" s="10">
        <f t="shared" ref="J4:J8" si="0">COUNTIFS(D$1:D$51,"&gt;="&amp;G4,D$1:D$51,"&lt;"&amp;H4)</f>
        <v>10</v>
      </c>
      <c r="K4" s="11">
        <f>J4/J$9</f>
        <v>0.2</v>
      </c>
      <c r="L4" s="10">
        <f>L3+J4</f>
        <v>23</v>
      </c>
      <c r="M4" s="12">
        <f>M3+K4</f>
        <v>0.46</v>
      </c>
      <c r="N4" s="18" t="s">
        <v>29</v>
      </c>
      <c r="O4">
        <v>10</v>
      </c>
      <c r="P4">
        <v>75</v>
      </c>
      <c r="Q4" s="21">
        <v>0.46</v>
      </c>
    </row>
    <row r="5" spans="1:17" x14ac:dyDescent="0.25">
      <c r="A5" s="6">
        <v>4</v>
      </c>
      <c r="B5" s="6" t="s">
        <v>18</v>
      </c>
      <c r="C5" s="6" t="s">
        <v>13</v>
      </c>
      <c r="D5" s="6">
        <v>60</v>
      </c>
      <c r="E5" s="6">
        <v>5</v>
      </c>
      <c r="G5" s="13">
        <v>75</v>
      </c>
      <c r="H5" s="13">
        <v>90</v>
      </c>
      <c r="I5" s="14">
        <f t="shared" ref="I5:I8" si="1">(G5+H5)/2</f>
        <v>82.5</v>
      </c>
      <c r="J5" s="10">
        <f t="shared" si="0"/>
        <v>9</v>
      </c>
      <c r="K5" s="11">
        <f t="shared" ref="K5:K8" si="2">J5/J$9</f>
        <v>0.18</v>
      </c>
      <c r="L5" s="14">
        <f t="shared" ref="L5:L8" si="3">L4+J5</f>
        <v>32</v>
      </c>
      <c r="M5" s="15">
        <f t="shared" ref="M5:M8" si="4">M4+K5</f>
        <v>0.64</v>
      </c>
      <c r="N5" s="18" t="s">
        <v>30</v>
      </c>
      <c r="O5">
        <v>9</v>
      </c>
      <c r="P5">
        <v>90</v>
      </c>
      <c r="Q5" s="21">
        <v>0.64</v>
      </c>
    </row>
    <row r="6" spans="1:17" x14ac:dyDescent="0.25">
      <c r="A6" s="5">
        <v>5</v>
      </c>
      <c r="B6" s="5" t="s">
        <v>19</v>
      </c>
      <c r="C6" s="5" t="s">
        <v>13</v>
      </c>
      <c r="D6" s="5">
        <v>85</v>
      </c>
      <c r="E6" s="5">
        <v>6.3</v>
      </c>
      <c r="G6" s="9">
        <v>90</v>
      </c>
      <c r="H6" s="9">
        <v>105</v>
      </c>
      <c r="I6" s="10">
        <f t="shared" si="1"/>
        <v>97.5</v>
      </c>
      <c r="J6" s="10">
        <f t="shared" si="0"/>
        <v>8</v>
      </c>
      <c r="K6" s="11">
        <f t="shared" si="2"/>
        <v>0.16</v>
      </c>
      <c r="L6" s="10">
        <f t="shared" si="3"/>
        <v>40</v>
      </c>
      <c r="M6" s="12">
        <f t="shared" si="4"/>
        <v>0.8</v>
      </c>
      <c r="N6" s="18" t="s">
        <v>32</v>
      </c>
      <c r="O6">
        <v>8</v>
      </c>
      <c r="P6">
        <v>105</v>
      </c>
      <c r="Q6" s="21">
        <v>0.8</v>
      </c>
    </row>
    <row r="7" spans="1:17" x14ac:dyDescent="0.25">
      <c r="A7" s="6">
        <v>6</v>
      </c>
      <c r="B7" s="6" t="s">
        <v>20</v>
      </c>
      <c r="C7" s="6" t="s">
        <v>15</v>
      </c>
      <c r="D7" s="6">
        <v>45</v>
      </c>
      <c r="E7" s="6">
        <v>3.2</v>
      </c>
      <c r="G7" s="13">
        <v>105</v>
      </c>
      <c r="H7" s="13">
        <v>120</v>
      </c>
      <c r="I7" s="14">
        <f t="shared" si="1"/>
        <v>112.5</v>
      </c>
      <c r="J7" s="10">
        <f t="shared" si="0"/>
        <v>5</v>
      </c>
      <c r="K7" s="11">
        <f t="shared" si="2"/>
        <v>0.1</v>
      </c>
      <c r="L7" s="14">
        <f t="shared" si="3"/>
        <v>45</v>
      </c>
      <c r="M7" s="15">
        <f t="shared" si="4"/>
        <v>0.9</v>
      </c>
      <c r="N7" s="18" t="s">
        <v>31</v>
      </c>
      <c r="O7">
        <v>5</v>
      </c>
      <c r="P7">
        <v>120</v>
      </c>
      <c r="Q7" s="21">
        <v>0.9</v>
      </c>
    </row>
    <row r="8" spans="1:17" x14ac:dyDescent="0.25">
      <c r="A8" s="5">
        <v>7</v>
      </c>
      <c r="B8" s="5" t="s">
        <v>18</v>
      </c>
      <c r="C8" s="5" t="s">
        <v>13</v>
      </c>
      <c r="D8" s="5">
        <v>90</v>
      </c>
      <c r="E8" s="5">
        <v>5.8</v>
      </c>
      <c r="G8" s="9">
        <v>120</v>
      </c>
      <c r="H8" s="9">
        <v>135</v>
      </c>
      <c r="I8" s="10">
        <f t="shared" si="1"/>
        <v>127.5</v>
      </c>
      <c r="J8" s="10">
        <f t="shared" si="0"/>
        <v>5</v>
      </c>
      <c r="K8" s="11">
        <f t="shared" si="2"/>
        <v>0.1</v>
      </c>
      <c r="L8" s="10">
        <f t="shared" si="3"/>
        <v>50</v>
      </c>
      <c r="M8" s="12">
        <f t="shared" si="4"/>
        <v>1</v>
      </c>
      <c r="N8" s="18" t="s">
        <v>33</v>
      </c>
      <c r="O8">
        <v>5</v>
      </c>
      <c r="P8">
        <v>135</v>
      </c>
      <c r="Q8" s="21">
        <v>1</v>
      </c>
    </row>
    <row r="9" spans="1:17" x14ac:dyDescent="0.25">
      <c r="A9" s="6">
        <v>8</v>
      </c>
      <c r="B9" s="6" t="s">
        <v>14</v>
      </c>
      <c r="C9" s="6" t="s">
        <v>13</v>
      </c>
      <c r="D9" s="6">
        <v>70</v>
      </c>
      <c r="E9" s="6">
        <v>4.0999999999999996</v>
      </c>
      <c r="J9" s="16">
        <f>SUM(J2:J8)</f>
        <v>50</v>
      </c>
    </row>
    <row r="10" spans="1:17" x14ac:dyDescent="0.25">
      <c r="A10" s="5">
        <v>9</v>
      </c>
      <c r="B10" s="5" t="s">
        <v>16</v>
      </c>
      <c r="C10" s="5" t="s">
        <v>13</v>
      </c>
      <c r="D10" s="5">
        <v>100</v>
      </c>
      <c r="E10" s="5">
        <v>6.5</v>
      </c>
    </row>
    <row r="11" spans="1:17" x14ac:dyDescent="0.25">
      <c r="A11" s="6">
        <v>10</v>
      </c>
      <c r="B11" s="6" t="s">
        <v>18</v>
      </c>
      <c r="C11" s="6" t="s">
        <v>15</v>
      </c>
      <c r="D11" s="6">
        <v>50</v>
      </c>
      <c r="E11" s="6">
        <v>3.9</v>
      </c>
      <c r="G11" s="2" t="s">
        <v>21</v>
      </c>
      <c r="H11" s="1">
        <f>MIN(D2:D51)</f>
        <v>30</v>
      </c>
    </row>
    <row r="12" spans="1:17" x14ac:dyDescent="0.25">
      <c r="A12" s="5">
        <v>11</v>
      </c>
      <c r="B12" s="5" t="s">
        <v>19</v>
      </c>
      <c r="C12" s="5" t="s">
        <v>17</v>
      </c>
      <c r="D12" s="5">
        <v>110</v>
      </c>
      <c r="E12" s="5">
        <v>7.8</v>
      </c>
      <c r="G12" s="2" t="s">
        <v>22</v>
      </c>
      <c r="H12" s="1">
        <f>MAX(D2:D51)</f>
        <v>132</v>
      </c>
    </row>
    <row r="13" spans="1:17" x14ac:dyDescent="0.25">
      <c r="A13" s="6">
        <v>12</v>
      </c>
      <c r="B13" s="6" t="s">
        <v>20</v>
      </c>
      <c r="C13" s="6" t="s">
        <v>13</v>
      </c>
      <c r="D13" s="6">
        <v>65</v>
      </c>
      <c r="E13" s="6">
        <v>4.9000000000000004</v>
      </c>
      <c r="G13" s="2" t="s">
        <v>23</v>
      </c>
      <c r="H13" s="1">
        <f>H12-H11</f>
        <v>102</v>
      </c>
    </row>
    <row r="14" spans="1:17" x14ac:dyDescent="0.25">
      <c r="A14" s="5">
        <v>13</v>
      </c>
      <c r="B14" s="5" t="s">
        <v>18</v>
      </c>
      <c r="C14" s="5" t="s">
        <v>13</v>
      </c>
      <c r="D14" s="5">
        <v>80</v>
      </c>
      <c r="E14" s="5">
        <v>5.3</v>
      </c>
      <c r="G14" s="2" t="s">
        <v>24</v>
      </c>
      <c r="H14" s="3">
        <f>1+3.322*LOG10(50)</f>
        <v>6.6439783544042541</v>
      </c>
    </row>
    <row r="15" spans="1:17" x14ac:dyDescent="0.25">
      <c r="A15" s="6">
        <v>14</v>
      </c>
      <c r="B15" s="6" t="s">
        <v>14</v>
      </c>
      <c r="C15" s="6" t="s">
        <v>15</v>
      </c>
      <c r="D15" s="6">
        <v>35</v>
      </c>
      <c r="E15" s="6">
        <v>2.5</v>
      </c>
      <c r="G15" s="2" t="s">
        <v>25</v>
      </c>
      <c r="H15" s="3">
        <f>H13/H14</f>
        <v>15.352247487739751</v>
      </c>
    </row>
    <row r="16" spans="1:17" x14ac:dyDescent="0.25">
      <c r="A16" s="5">
        <v>15</v>
      </c>
      <c r="B16" s="5" t="s">
        <v>16</v>
      </c>
      <c r="C16" s="5" t="s">
        <v>13</v>
      </c>
      <c r="D16" s="5">
        <v>95</v>
      </c>
      <c r="E16" s="5">
        <v>6</v>
      </c>
    </row>
    <row r="17" spans="1:5" x14ac:dyDescent="0.25">
      <c r="A17" s="6">
        <v>16</v>
      </c>
      <c r="B17" s="6" t="s">
        <v>18</v>
      </c>
      <c r="C17" s="6" t="s">
        <v>13</v>
      </c>
      <c r="D17" s="6">
        <v>70</v>
      </c>
      <c r="E17" s="6">
        <v>4.8</v>
      </c>
    </row>
    <row r="18" spans="1:5" x14ac:dyDescent="0.25">
      <c r="A18" s="5">
        <v>17</v>
      </c>
      <c r="B18" s="5" t="s">
        <v>19</v>
      </c>
      <c r="C18" s="5" t="s">
        <v>15</v>
      </c>
      <c r="D18" s="5">
        <v>40</v>
      </c>
      <c r="E18" s="5">
        <v>3</v>
      </c>
    </row>
    <row r="19" spans="1:5" x14ac:dyDescent="0.25">
      <c r="A19" s="6">
        <v>18</v>
      </c>
      <c r="B19" s="6" t="s">
        <v>20</v>
      </c>
      <c r="C19" s="6" t="s">
        <v>17</v>
      </c>
      <c r="D19" s="6">
        <v>130</v>
      </c>
      <c r="E19" s="6">
        <v>8.5</v>
      </c>
    </row>
    <row r="20" spans="1:5" x14ac:dyDescent="0.25">
      <c r="A20" s="5">
        <v>19</v>
      </c>
      <c r="B20" s="5" t="s">
        <v>18</v>
      </c>
      <c r="C20" s="5" t="s">
        <v>13</v>
      </c>
      <c r="D20" s="5">
        <v>105</v>
      </c>
      <c r="E20" s="5">
        <v>6.7</v>
      </c>
    </row>
    <row r="21" spans="1:5" x14ac:dyDescent="0.25">
      <c r="A21" s="6">
        <v>20</v>
      </c>
      <c r="B21" s="6" t="s">
        <v>14</v>
      </c>
      <c r="C21" s="6" t="s">
        <v>13</v>
      </c>
      <c r="D21" s="6">
        <v>80</v>
      </c>
      <c r="E21" s="6">
        <v>5.5</v>
      </c>
    </row>
    <row r="22" spans="1:5" x14ac:dyDescent="0.25">
      <c r="A22" s="5">
        <v>21</v>
      </c>
      <c r="B22" s="5" t="s">
        <v>18</v>
      </c>
      <c r="C22" s="5" t="s">
        <v>13</v>
      </c>
      <c r="D22" s="5">
        <v>72</v>
      </c>
      <c r="E22" s="5">
        <v>4.5999999999999996</v>
      </c>
    </row>
    <row r="23" spans="1:5" x14ac:dyDescent="0.25">
      <c r="A23" s="6">
        <v>22</v>
      </c>
      <c r="B23" s="6" t="s">
        <v>14</v>
      </c>
      <c r="C23" s="6" t="s">
        <v>15</v>
      </c>
      <c r="D23" s="6">
        <v>33</v>
      </c>
      <c r="E23" s="6">
        <v>2.9</v>
      </c>
    </row>
    <row r="24" spans="1:5" x14ac:dyDescent="0.25">
      <c r="A24" s="5">
        <v>23</v>
      </c>
      <c r="B24" s="5" t="s">
        <v>16</v>
      </c>
      <c r="C24" s="5" t="s">
        <v>17</v>
      </c>
      <c r="D24" s="5">
        <v>125</v>
      </c>
      <c r="E24" s="5">
        <v>7.3</v>
      </c>
    </row>
    <row r="25" spans="1:5" x14ac:dyDescent="0.25">
      <c r="A25" s="6">
        <v>24</v>
      </c>
      <c r="B25" s="6" t="s">
        <v>18</v>
      </c>
      <c r="C25" s="6" t="s">
        <v>13</v>
      </c>
      <c r="D25" s="6">
        <v>63</v>
      </c>
      <c r="E25" s="6">
        <v>5.0999999999999996</v>
      </c>
    </row>
    <row r="26" spans="1:5" x14ac:dyDescent="0.25">
      <c r="A26" s="5">
        <v>25</v>
      </c>
      <c r="B26" s="5" t="s">
        <v>19</v>
      </c>
      <c r="C26" s="5" t="s">
        <v>13</v>
      </c>
      <c r="D26" s="5">
        <v>88</v>
      </c>
      <c r="E26" s="5">
        <v>6.4</v>
      </c>
    </row>
    <row r="27" spans="1:5" x14ac:dyDescent="0.25">
      <c r="A27" s="6">
        <v>26</v>
      </c>
      <c r="B27" s="6" t="s">
        <v>20</v>
      </c>
      <c r="C27" s="6" t="s">
        <v>15</v>
      </c>
      <c r="D27" s="6">
        <v>48</v>
      </c>
      <c r="E27" s="6">
        <v>3.3</v>
      </c>
    </row>
    <row r="28" spans="1:5" x14ac:dyDescent="0.25">
      <c r="A28" s="5">
        <v>27</v>
      </c>
      <c r="B28" s="5" t="s">
        <v>18</v>
      </c>
      <c r="C28" s="5" t="s">
        <v>13</v>
      </c>
      <c r="D28" s="5">
        <v>92</v>
      </c>
      <c r="E28" s="5">
        <v>5.9</v>
      </c>
    </row>
    <row r="29" spans="1:5" x14ac:dyDescent="0.25">
      <c r="A29" s="6">
        <v>28</v>
      </c>
      <c r="B29" s="6" t="s">
        <v>14</v>
      </c>
      <c r="C29" s="6" t="s">
        <v>13</v>
      </c>
      <c r="D29" s="6">
        <v>73</v>
      </c>
      <c r="E29" s="6">
        <v>4.2</v>
      </c>
    </row>
    <row r="30" spans="1:5" x14ac:dyDescent="0.25">
      <c r="A30" s="5">
        <v>29</v>
      </c>
      <c r="B30" s="5" t="s">
        <v>16</v>
      </c>
      <c r="C30" s="5" t="s">
        <v>13</v>
      </c>
      <c r="D30" s="5">
        <v>103</v>
      </c>
      <c r="E30" s="5">
        <v>6.6</v>
      </c>
    </row>
    <row r="31" spans="1:5" x14ac:dyDescent="0.25">
      <c r="A31" s="6">
        <v>30</v>
      </c>
      <c r="B31" s="6" t="s">
        <v>18</v>
      </c>
      <c r="C31" s="6" t="s">
        <v>15</v>
      </c>
      <c r="D31" s="6">
        <v>52</v>
      </c>
      <c r="E31" s="6">
        <v>4</v>
      </c>
    </row>
    <row r="32" spans="1:5" x14ac:dyDescent="0.25">
      <c r="A32" s="5">
        <v>31</v>
      </c>
      <c r="B32" s="5" t="s">
        <v>19</v>
      </c>
      <c r="C32" s="5" t="s">
        <v>17</v>
      </c>
      <c r="D32" s="5">
        <v>112</v>
      </c>
      <c r="E32" s="5">
        <v>7.9</v>
      </c>
    </row>
    <row r="33" spans="1:5" x14ac:dyDescent="0.25">
      <c r="A33" s="6">
        <v>32</v>
      </c>
      <c r="B33" s="6" t="s">
        <v>20</v>
      </c>
      <c r="C33" s="6" t="s">
        <v>13</v>
      </c>
      <c r="D33" s="6">
        <v>68</v>
      </c>
      <c r="E33" s="6">
        <v>5</v>
      </c>
    </row>
    <row r="34" spans="1:5" x14ac:dyDescent="0.25">
      <c r="A34" s="5">
        <v>33</v>
      </c>
      <c r="B34" s="5" t="s">
        <v>18</v>
      </c>
      <c r="C34" s="5" t="s">
        <v>13</v>
      </c>
      <c r="D34" s="5">
        <v>82</v>
      </c>
      <c r="E34" s="5">
        <v>5.4</v>
      </c>
    </row>
    <row r="35" spans="1:5" x14ac:dyDescent="0.25">
      <c r="A35" s="6">
        <v>34</v>
      </c>
      <c r="B35" s="6" t="s">
        <v>14</v>
      </c>
      <c r="C35" s="6" t="s">
        <v>15</v>
      </c>
      <c r="D35" s="6">
        <v>38</v>
      </c>
      <c r="E35" s="6">
        <v>2.6</v>
      </c>
    </row>
    <row r="36" spans="1:5" x14ac:dyDescent="0.25">
      <c r="A36" s="5">
        <v>35</v>
      </c>
      <c r="B36" s="5" t="s">
        <v>16</v>
      </c>
      <c r="C36" s="5" t="s">
        <v>13</v>
      </c>
      <c r="D36" s="5">
        <v>98</v>
      </c>
      <c r="E36" s="5">
        <v>6.1</v>
      </c>
    </row>
    <row r="37" spans="1:5" x14ac:dyDescent="0.25">
      <c r="A37" s="6">
        <v>36</v>
      </c>
      <c r="B37" s="6" t="s">
        <v>18</v>
      </c>
      <c r="C37" s="6" t="s">
        <v>13</v>
      </c>
      <c r="D37" s="6">
        <v>71</v>
      </c>
      <c r="E37" s="6">
        <v>4.7</v>
      </c>
    </row>
    <row r="38" spans="1:5" x14ac:dyDescent="0.25">
      <c r="A38" s="5">
        <v>37</v>
      </c>
      <c r="B38" s="5" t="s">
        <v>19</v>
      </c>
      <c r="C38" s="5" t="s">
        <v>15</v>
      </c>
      <c r="D38" s="5">
        <v>42</v>
      </c>
      <c r="E38" s="5">
        <v>3.1</v>
      </c>
    </row>
    <row r="39" spans="1:5" x14ac:dyDescent="0.25">
      <c r="A39" s="6">
        <v>38</v>
      </c>
      <c r="B39" s="6" t="s">
        <v>20</v>
      </c>
      <c r="C39" s="6" t="s">
        <v>17</v>
      </c>
      <c r="D39" s="6">
        <v>132</v>
      </c>
      <c r="E39" s="6">
        <v>8.6</v>
      </c>
    </row>
    <row r="40" spans="1:5" x14ac:dyDescent="0.25">
      <c r="A40" s="5">
        <v>39</v>
      </c>
      <c r="B40" s="5" t="s">
        <v>18</v>
      </c>
      <c r="C40" s="5" t="s">
        <v>13</v>
      </c>
      <c r="D40" s="5">
        <v>107</v>
      </c>
      <c r="E40" s="5">
        <v>6.8</v>
      </c>
    </row>
    <row r="41" spans="1:5" x14ac:dyDescent="0.25">
      <c r="A41" s="6">
        <v>40</v>
      </c>
      <c r="B41" s="6" t="s">
        <v>14</v>
      </c>
      <c r="C41" s="6" t="s">
        <v>13</v>
      </c>
      <c r="D41" s="6">
        <v>83</v>
      </c>
      <c r="E41" s="6">
        <v>5.6</v>
      </c>
    </row>
    <row r="42" spans="1:5" x14ac:dyDescent="0.25">
      <c r="A42" s="5">
        <v>41</v>
      </c>
      <c r="B42" s="5" t="s">
        <v>18</v>
      </c>
      <c r="C42" s="5" t="s">
        <v>13</v>
      </c>
      <c r="D42" s="5">
        <v>78</v>
      </c>
      <c r="E42" s="5">
        <v>5</v>
      </c>
    </row>
    <row r="43" spans="1:5" x14ac:dyDescent="0.25">
      <c r="A43" s="6">
        <v>42</v>
      </c>
      <c r="B43" s="6" t="s">
        <v>14</v>
      </c>
      <c r="C43" s="6" t="s">
        <v>15</v>
      </c>
      <c r="D43" s="6">
        <v>36</v>
      </c>
      <c r="E43" s="6">
        <v>2.7</v>
      </c>
    </row>
    <row r="44" spans="1:5" x14ac:dyDescent="0.25">
      <c r="A44" s="5">
        <v>43</v>
      </c>
      <c r="B44" s="5" t="s">
        <v>16</v>
      </c>
      <c r="C44" s="5" t="s">
        <v>17</v>
      </c>
      <c r="D44" s="5">
        <v>128</v>
      </c>
      <c r="E44" s="5">
        <v>7.5</v>
      </c>
    </row>
    <row r="45" spans="1:5" x14ac:dyDescent="0.25">
      <c r="A45" s="6">
        <v>44</v>
      </c>
      <c r="B45" s="6" t="s">
        <v>18</v>
      </c>
      <c r="C45" s="6" t="s">
        <v>13</v>
      </c>
      <c r="D45" s="6">
        <v>65</v>
      </c>
      <c r="E45" s="6">
        <v>5.2</v>
      </c>
    </row>
    <row r="46" spans="1:5" x14ac:dyDescent="0.25">
      <c r="A46" s="5">
        <v>45</v>
      </c>
      <c r="B46" s="5" t="s">
        <v>19</v>
      </c>
      <c r="C46" s="5" t="s">
        <v>13</v>
      </c>
      <c r="D46" s="5">
        <v>90</v>
      </c>
      <c r="E46" s="5">
        <v>6.5</v>
      </c>
    </row>
    <row r="47" spans="1:5" x14ac:dyDescent="0.25">
      <c r="A47" s="6">
        <v>46</v>
      </c>
      <c r="B47" s="6" t="s">
        <v>20</v>
      </c>
      <c r="C47" s="6" t="s">
        <v>15</v>
      </c>
      <c r="D47" s="6">
        <v>47</v>
      </c>
      <c r="E47" s="6">
        <v>3.4</v>
      </c>
    </row>
    <row r="48" spans="1:5" x14ac:dyDescent="0.25">
      <c r="A48" s="5">
        <v>47</v>
      </c>
      <c r="B48" s="5" t="s">
        <v>18</v>
      </c>
      <c r="C48" s="5" t="s">
        <v>13</v>
      </c>
      <c r="D48" s="5">
        <v>95</v>
      </c>
      <c r="E48" s="5">
        <v>6</v>
      </c>
    </row>
    <row r="49" spans="1:5" x14ac:dyDescent="0.25">
      <c r="A49" s="6">
        <v>48</v>
      </c>
      <c r="B49" s="6" t="s">
        <v>14</v>
      </c>
      <c r="C49" s="6" t="s">
        <v>13</v>
      </c>
      <c r="D49" s="6">
        <v>75</v>
      </c>
      <c r="E49" s="6">
        <v>4.3</v>
      </c>
    </row>
    <row r="50" spans="1:5" x14ac:dyDescent="0.25">
      <c r="A50" s="5">
        <v>49</v>
      </c>
      <c r="B50" s="5" t="s">
        <v>16</v>
      </c>
      <c r="C50" s="5" t="s">
        <v>13</v>
      </c>
      <c r="D50" s="5">
        <v>105</v>
      </c>
      <c r="E50" s="5">
        <v>6.7</v>
      </c>
    </row>
    <row r="51" spans="1:5" x14ac:dyDescent="0.25">
      <c r="A51" s="6">
        <v>50</v>
      </c>
      <c r="B51" s="6" t="s">
        <v>18</v>
      </c>
      <c r="C51" s="6" t="s">
        <v>15</v>
      </c>
      <c r="D51" s="6">
        <v>55</v>
      </c>
      <c r="E51" s="6">
        <v>4.0999999999999996</v>
      </c>
    </row>
  </sheetData>
  <dataValidations count="3">
    <dataValidation type="custom" allowBlank="1" showDropDown="1" sqref="A2:A51 D2:E51 G2:H8 J2:M8" xr:uid="{0AF9D301-5671-481C-94FE-E44EB4CA9276}">
      <formula1>AND(ISNUMBER(A2),(NOT(OR(NOT(ISERROR(DATEVALUE(A2))), AND(ISNUMBER(A2), LEFT(CELL("format", A2))="D")))))</formula1>
    </dataValidation>
    <dataValidation type="list" allowBlank="1" sqref="C2:C51" xr:uid="{C183950D-E623-4A26-B64B-8D2128E1BD00}">
      <formula1>"Medio,Bajo,Alto"</formula1>
    </dataValidation>
    <dataValidation type="list" allowBlank="1" sqref="B2:B51" xr:uid="{8964D8B4-C694-44D5-AA6B-E7E8324075F9}">
      <formula1>"México,Colombia,Argentina,Chile,Perú"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1807F9E88B7F4BA3FC8999BA7C1A0D" ma:contentTypeVersion="7" ma:contentTypeDescription="Crear nuevo documento." ma:contentTypeScope="" ma:versionID="e0cc7da8446ee0de08db8f00d70ae59b">
  <xsd:schema xmlns:xsd="http://www.w3.org/2001/XMLSchema" xmlns:xs="http://www.w3.org/2001/XMLSchema" xmlns:p="http://schemas.microsoft.com/office/2006/metadata/properties" xmlns:ns2="08932d7f-621f-412c-bad1-ae5acb4700f0" targetNamespace="http://schemas.microsoft.com/office/2006/metadata/properties" ma:root="true" ma:fieldsID="5284200ab52aa01794b8cf8bad0c7f76" ns2:_="">
    <xsd:import namespace="08932d7f-621f-412c-bad1-ae5acb470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32d7f-621f-412c-bad1-ae5acb4700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7D09E7-6592-4BD0-B23B-F88B8302791E}">
  <ds:schemaRefs>
    <ds:schemaRef ds:uri="http://purl.org/dc/dcmitype/"/>
    <ds:schemaRef ds:uri="http://www.w3.org/XML/1998/namespace"/>
    <ds:schemaRef ds:uri="http://purl.org/dc/terms/"/>
    <ds:schemaRef ds:uri="http://schemas.microsoft.com/office/2006/documentManagement/types"/>
    <ds:schemaRef ds:uri="08932d7f-621f-412c-bad1-ae5acb4700f0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79064DA-7FBA-405A-9765-FF30A9469E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B80B38-89E5-44E3-9E15-1B3A7EFB3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932d7f-621f-412c-bad1-ae5acb470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bdrmi</dc:creator>
  <cp:keywords/>
  <dc:description/>
  <cp:lastModifiedBy>brayan david</cp:lastModifiedBy>
  <cp:revision/>
  <dcterms:created xsi:type="dcterms:W3CDTF">2026-06-12T23:10:06Z</dcterms:created>
  <dcterms:modified xsi:type="dcterms:W3CDTF">2026-06-15T23:32:32Z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0x0101005C1807F9E88B7F4BA3FC8999BA7C1A0D</vt:lpwstr>
  </property>
</Properties>
</file>